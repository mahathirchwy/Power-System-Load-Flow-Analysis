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1 - 100% Base case" sheetId="1" r:id="rId5"/>
    <sheet state="visible" name="Test 2 - 125% results" sheetId="2" r:id="rId6"/>
    <sheet state="visible" name="Test 3 - 150% results" sheetId="3" r:id="rId7"/>
    <sheet state="visible" name="N-1 Contingency Analysis" sheetId="4" r:id="rId8"/>
    <sheet state="visible" name="Short-circuit study" sheetId="5" r:id="rId9"/>
    <sheet state="visible" name="final analysis" sheetId="6" r:id="rId10"/>
  </sheets>
  <definedNames/>
  <calcPr/>
</workbook>
</file>

<file path=xl/sharedStrings.xml><?xml version="1.0" encoding="utf-8"?>
<sst xmlns="http://schemas.openxmlformats.org/spreadsheetml/2006/main" count="516" uniqueCount="264">
  <si>
    <t>Line</t>
  </si>
  <si>
    <t>1. Case Information</t>
  </si>
  <si>
    <t>MW From</t>
  </si>
  <si>
    <t>Mvar From</t>
  </si>
  <si>
    <t>2. Load data</t>
  </si>
  <si>
    <t>MVA From</t>
  </si>
  <si>
    <t>Loading</t>
  </si>
  <si>
    <t>MW Loss</t>
  </si>
  <si>
    <t>3. Generator data</t>
  </si>
  <si>
    <t>Mvar Loss</t>
  </si>
  <si>
    <t>Result</t>
  </si>
  <si>
    <t>4. Bus results</t>
  </si>
  <si>
    <t>5. Transmission-line results</t>
  </si>
  <si>
    <t>BUS-01 → BUS-02</t>
  </si>
  <si>
    <t>Case: Base Case — 100% Load</t>
  </si>
  <si>
    <t>Bus</t>
  </si>
  <si>
    <t>Load MW</t>
  </si>
  <si>
    <t>Load Mvar</t>
  </si>
  <si>
    <t>Generator Bus</t>
  </si>
  <si>
    <t>MW Output</t>
  </si>
  <si>
    <t>Mvar Output</t>
  </si>
  <si>
    <t>Voltage Setpoint</t>
  </si>
  <si>
    <t>Nominal kV</t>
  </si>
  <si>
    <t>Voltage pu</t>
  </si>
  <si>
    <t>Actual Voltage kV</t>
  </si>
  <si>
    <t>Angle °</t>
  </si>
  <si>
    <t>Generator MW</t>
  </si>
  <si>
    <t>Limit MVA</t>
  </si>
  <si>
    <t>Loading %</t>
  </si>
  <si>
    <t>BUS-01 → BUS-03</t>
  </si>
  <si>
    <t>System Voltage: 230 kV</t>
  </si>
  <si>
    <t>BUS-01</t>
  </si>
  <si>
    <t>257.61 MW</t>
  </si>
  <si>
    <t>61.42 Mvar</t>
  </si>
  <si>
    <t>1.000 pu</t>
  </si>
  <si>
    <t>BUS-02 → BUS-03</t>
  </si>
  <si>
    <t>−0.0</t>
  </si>
  <si>
    <t>−8.59</t>
  </si>
  <si>
    <t>Lowest Voltage</t>
  </si>
  <si>
    <t>Number of Buses: 5</t>
  </si>
  <si>
    <t>BUS-02</t>
  </si>
  <si>
    <t>0.94224 pu</t>
  </si>
  <si>
    <t>0.91489 pu</t>
  </si>
  <si>
    <t>BUS-02 → BUS-04</t>
  </si>
  <si>
    <t>−5.78</t>
  </si>
  <si>
    <t>−4.3</t>
  </si>
  <si>
    <t>N-1 Contingency Analysis</t>
  </si>
  <si>
    <t>−8.30</t>
  </si>
  <si>
    <t>Number of Transmission Lines: 7</t>
  </si>
  <si>
    <t>Highest Line Loading</t>
  </si>
  <si>
    <t>BUS-03</t>
  </si>
  <si>
    <t>Violation</t>
  </si>
  <si>
    <t>−5.80</t>
  </si>
  <si>
    <t>BUS-02 → BUS-05</t>
  </si>
  <si>
    <t>Voltage kV</t>
  </si>
  <si>
    <t>−0.4</t>
  </si>
  <si>
    <t>−9.02</t>
  </si>
  <si>
    <t>−7.23</t>
  </si>
  <si>
    <t>Limit</t>
  </si>
  <si>
    <t>Line Rating: 200 MVA</t>
  </si>
  <si>
    <t>Largest angle magnitude</t>
  </si>
  <si>
    <t>BUS-04</t>
  </si>
  <si>
    <t>−7.18°</t>
  </si>
  <si>
    <t>−9.13°</t>
  </si>
  <si>
    <t>BUS-01 → BUS-02 branch loading</t>
  </si>
  <si>
    <t>−6.54</t>
  </si>
  <si>
    <t>BUS-03 → BUS-05</t>
  </si>
  <si>
    <t>310.87 MVA</t>
  </si>
  <si>
    <t>−6.4</t>
  </si>
  <si>
    <t>200 MVA</t>
  </si>
  <si>
    <t>−8.87</t>
  </si>
  <si>
    <t>−7.37</t>
  </si>
  <si>
    <t>Line R: 0.02 pu</t>
  </si>
  <si>
    <t>BUS-05</t>
  </si>
  <si>
    <t>BUS-04 → BUS-05</t>
  </si>
  <si>
    <t>Number of line contingencies tested: 7</t>
  </si>
  <si>
    <t>Branch loading %</t>
  </si>
  <si>
    <t>−7.18</t>
  </si>
  <si>
    <t>−8.10</t>
  </si>
  <si>
    <t>−8.22</t>
  </si>
  <si>
    <t>Line X: 0.08 pu</t>
  </si>
  <si>
    <t>Scenario: 125% Load</t>
  </si>
  <si>
    <t>Total</t>
  </si>
  <si>
    <t>250 MW</t>
  </si>
  <si>
    <t>95 Mvar</t>
  </si>
  <si>
    <t>Total Load:</t>
  </si>
  <si>
    <t>−3.4</t>
  </si>
  <si>
    <t>−8.28</t>
  </si>
  <si>
    <t>312.50 MW</t>
  </si>
  <si>
    <t>Line B: 0.10 pu</t>
  </si>
  <si>
    <t>118.75 Mvar</t>
  </si>
  <si>
    <t>Solved successfully: 7</t>
  </si>
  <si>
    <t>BUS-02 voltage</t>
  </si>
  <si>
    <t>0.8447 pu</t>
  </si>
  <si>
    <t>Generator:</t>
  </si>
  <si>
    <t>0.9000 pu</t>
  </si>
  <si>
    <t>−8.74</t>
  </si>
  <si>
    <t>325.25 MW</t>
  </si>
  <si>
    <t>Total load</t>
  </si>
  <si>
    <t>Unsolvable: 0</t>
  </si>
  <si>
    <t>BUS-03 voltage</t>
  </si>
  <si>
    <t>0.7979 pu</t>
  </si>
  <si>
    <t>6. System summary</t>
  </si>
  <si>
    <t>108.50 Mvar</t>
  </si>
  <si>
    <t>312.5 MW</t>
  </si>
  <si>
    <t>375 MW</t>
  </si>
  <si>
    <t>Scenario: 100% Base Case</t>
  </si>
  <si>
    <t>Total violations: 10</t>
  </si>
  <si>
    <t>Total MW Loss:</t>
  </si>
  <si>
    <t>BUS-04 voltage</t>
  </si>
  <si>
    <t>0.8319 pu</t>
  </si>
  <si>
    <t>−9.29</t>
  </si>
  <si>
    <t>12.75 MW</t>
  </si>
  <si>
    <t>BUS-05 voltage</t>
  </si>
  <si>
    <t>0.8133 pu</t>
  </si>
  <si>
    <t>Lowest Bus Voltage:</t>
  </si>
  <si>
    <t>Generator Output:</t>
  </si>
  <si>
    <t>Critical Contingency 1:</t>
  </si>
  <si>
    <t>Generator output</t>
  </si>
  <si>
    <t>Outage: BUS-01 → BUS-02</t>
  </si>
  <si>
    <t>394.88 MW</t>
  </si>
  <si>
    <t>Violations: 5</t>
  </si>
  <si>
    <t>210.424 kV</t>
  </si>
  <si>
    <t>Total Real-Power Loss:</t>
  </si>
  <si>
    <t>−8.64</t>
  </si>
  <si>
    <t>Max branch loading: 154.4%</t>
  </si>
  <si>
    <t>7.61 MW</t>
  </si>
  <si>
    <t>Largest Voltage Angle:</t>
  </si>
  <si>
    <t>−12.3</t>
  </si>
  <si>
    <t>Minimum bus voltage: 0.811 pu</t>
  </si>
  <si>
    <t>−7.3</t>
  </si>
  <si>
    <t>Real-Power Loss Percentage:</t>
  </si>
  <si>
    <t>2.95% of generator output</t>
  </si>
  <si>
    <t>Critical Contingency 2:</t>
  </si>
  <si>
    <t>−7.98</t>
  </si>
  <si>
    <t>-9.13°</t>
  </si>
  <si>
    <t>MW loss</t>
  </si>
  <si>
    <t>Outage: BUS-01 → BUS-03</t>
  </si>
  <si>
    <t>Highest Line Loading:</t>
  </si>
  <si>
    <t>19.88 MW</t>
  </si>
  <si>
    <t>Max branch loading: 155.4%</t>
  </si>
  <si>
    <t>216.714 kV</t>
  </si>
  <si>
    <t>−10.35</t>
  </si>
  <si>
    <t>Minimum bus voltage: 0.798 pu</t>
  </si>
  <si>
    <t>Highest Bus Voltage:</t>
  </si>
  <si>
    <t>Other 5 line outages:</t>
  </si>
  <si>
    <t>−3.5</t>
  </si>
  <si>
    <t>1.00000 pu</t>
  </si>
  <si>
    <t>−7.69</t>
  </si>
  <si>
    <t>No reported violations</t>
  </si>
  <si>
    <t>230.000 kV</t>
  </si>
  <si>
    <t>Lowest voltage</t>
  </si>
  <si>
    <t>Second Highest:</t>
  </si>
  <si>
    <t>Largest Voltage Angle Difference from Slack:</t>
  </si>
  <si>
    <t>0.88326 pu</t>
  </si>
  <si>
    <t>−11.32</t>
  </si>
  <si>
    <t>−6.47</t>
  </si>
  <si>
    <t>Highest line loading</t>
  </si>
  <si>
    <t>Second-Highest Line Loading:</t>
  </si>
  <si>
    <t>−5.39</t>
  </si>
  <si>
    <t>−11.32°</t>
  </si>
  <si>
    <t>−7.49</t>
  </si>
  <si>
    <t>Fault location: BUS-01</t>
  </si>
  <si>
    <t>Fault location: BUS-02</t>
  </si>
  <si>
    <t>Fault location: BUS-03</t>
  </si>
  <si>
    <t>Fault location: BUS-04</t>
  </si>
  <si>
    <t>Fault location: BUS-05</t>
  </si>
  <si>
    <t>3Φ Fault Current</t>
  </si>
  <si>
    <t>Fault type: 3 Phase Balanced</t>
  </si>
  <si>
    <t>763.137 A</t>
  </si>
  <si>
    <t>Fault impedance: R = 0, X = 0</t>
  </si>
  <si>
    <t>720.821 A</t>
  </si>
  <si>
    <t>723.617 A</t>
  </si>
  <si>
    <t>Fault current magnitude:</t>
  </si>
  <si>
    <t>663.279 A</t>
  </si>
  <si>
    <t>695.989 A</t>
  </si>
  <si>
    <t>Fault current angle:</t>
  </si>
  <si>
    <t>-32.07°</t>
  </si>
  <si>
    <t>-32.86°</t>
  </si>
  <si>
    <t>-32.85°</t>
  </si>
  <si>
    <t>-37.45°</t>
  </si>
  <si>
    <t>-34.55°</t>
  </si>
  <si>
    <t>SLG Fault Current</t>
  </si>
  <si>
    <t>Fault type: Single Line-to-Ground</t>
  </si>
  <si>
    <t>175.026 A</t>
  </si>
  <si>
    <t>144.713 A</t>
  </si>
  <si>
    <t>146.089 A</t>
  </si>
  <si>
    <t>135.222 A</t>
  </si>
  <si>
    <t>137.634 A</t>
  </si>
  <si>
    <t>-80.16°</t>
  </si>
  <si>
    <t>-84.38°</t>
  </si>
  <si>
    <t>-84.55°</t>
  </si>
  <si>
    <t>-84.70°</t>
  </si>
  <si>
    <t>-85.44°</t>
  </si>
  <si>
    <t>Line-to-Line Fault Current</t>
  </si>
  <si>
    <t>Fault type: Line-to-Line</t>
  </si>
  <si>
    <t>660.896 A</t>
  </si>
  <si>
    <t>624.249 A</t>
  </si>
  <si>
    <t>626.671 A</t>
  </si>
  <si>
    <t>574.416 A</t>
  </si>
  <si>
    <t>602.744 A</t>
  </si>
  <si>
    <t>-122.07°</t>
  </si>
  <si>
    <t>-122.86°</t>
  </si>
  <si>
    <t>-122.85°</t>
  </si>
  <si>
    <t>-127.45°</t>
  </si>
  <si>
    <t>-124.55°</t>
  </si>
  <si>
    <t>3Φ</t>
  </si>
  <si>
    <t>SLG</t>
  </si>
  <si>
    <t>L-L</t>
  </si>
  <si>
    <t>DLG</t>
  </si>
  <si>
    <t>DLG fault current</t>
  </si>
  <si>
    <t>Fault angle</t>
  </si>
  <si>
    <t>94.371 A</t>
  </si>
  <si>
    <t>94.56°</t>
  </si>
  <si>
    <t>76.907 A</t>
  </si>
  <si>
    <t>90.83°</t>
  </si>
  <si>
    <t>77.643 A</t>
  </si>
  <si>
    <t>90.62°</t>
  </si>
  <si>
    <t>72.403 A</t>
  </si>
  <si>
    <t>90.70°</t>
  </si>
  <si>
    <t>73.150 A</t>
  </si>
  <si>
    <t>89.88°</t>
  </si>
  <si>
    <t>Table 1 — Load Study Summary</t>
  </si>
  <si>
    <t>Load Level (%)</t>
  </si>
  <si>
    <t>Lowest Voltage (pu)</t>
  </si>
  <si>
    <t>Maximum Line Loading (%)</t>
  </si>
  <si>
    <t>System Losses (MW)</t>
  </si>
  <si>
    <t>Scenario</t>
  </si>
  <si>
    <t>Total Load (MW)</t>
  </si>
  <si>
    <t>Generator Output (MW)</t>
  </si>
  <si>
    <t>System Loss (MW)</t>
  </si>
  <si>
    <t>Highest Line Loading (%)</t>
  </si>
  <si>
    <t>100% Base</t>
  </si>
  <si>
    <t>125% Load</t>
  </si>
  <si>
    <t>150% Load</t>
  </si>
  <si>
    <t>Table 2 — Bus Voltage Comparison</t>
  </si>
  <si>
    <t>100% Voltage (pu)</t>
  </si>
  <si>
    <t>125% Voltage (pu)</t>
  </si>
  <si>
    <t>150% Voltage (pu)</t>
  </si>
  <si>
    <t>Table 3 — N-1 Contingency Summary</t>
  </si>
  <si>
    <t>Line Outage</t>
  </si>
  <si>
    <t>Violations</t>
  </si>
  <si>
    <t>Minimum Voltage (pu)</t>
  </si>
  <si>
    <t>—</t>
  </si>
  <si>
    <t>Table 4 — Worst Contingency Details</t>
  </si>
  <si>
    <t>BUS-01 → BUS-02 Outage</t>
  </si>
  <si>
    <t>BUS-01 → BUS-03 Outage</t>
  </si>
  <si>
    <t>L-G</t>
  </si>
  <si>
    <t>L-L-G</t>
  </si>
  <si>
    <t>Remaining main-line loading</t>
  </si>
  <si>
    <t>Remaining main-line MVA</t>
  </si>
  <si>
    <t>BUS-02 Voltage</t>
  </si>
  <si>
    <t>0.8105 pu</t>
  </si>
  <si>
    <t>BUS-03 Voltage</t>
  </si>
  <si>
    <t>0.8470 pu</t>
  </si>
  <si>
    <t>BUS-04 Voltage</t>
  </si>
  <si>
    <t>0.8147 pu</t>
  </si>
  <si>
    <t>BUS-05 Voltage</t>
  </si>
  <si>
    <t>0.8124 pu</t>
  </si>
  <si>
    <t>Table 5 — Fault Analysis</t>
  </si>
  <si>
    <t>3Φ Fault (A)</t>
  </si>
  <si>
    <t>L-G Fault (A)</t>
  </si>
  <si>
    <t>L-L Fault (A)</t>
  </si>
  <si>
    <t>L-L-G Fault 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</si>
</sst>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9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0" xfId="0" applyAlignment="1" applyFont="1" applyNumberForma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Minimum Bus Voltage vs System Load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'final analysis'!$J$1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'final analysis'!$I$2:$I$4</c:f>
            </c:strRef>
          </c:cat>
          <c:val>
            <c:numRef>
              <c:f>'final analysis'!$J$2:$J$4</c:f>
              <c:numCache/>
            </c:numRef>
          </c:val>
          <c:smooth val="0"/>
        </c:ser>
        <c:axId val="875341009"/>
        <c:axId val="533318488"/>
      </c:lineChart>
      <c:catAx>
        <c:axId val="875341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 Level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318488"/>
      </c:catAx>
      <c:valAx>
        <c:axId val="53331848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Minimum Bus Voltage (pu)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341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Maximum Transmission Line Loading vs System Load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'final analysis'!$O$1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'final analysis'!$N$2:$N$4</c:f>
            </c:strRef>
          </c:cat>
          <c:val>
            <c:numRef>
              <c:f>'final analysis'!$O$2:$O$4</c:f>
              <c:numCache/>
            </c:numRef>
          </c:val>
          <c:smooth val="0"/>
        </c:ser>
        <c:axId val="723573807"/>
        <c:axId val="1940353073"/>
      </c:lineChart>
      <c:catAx>
        <c:axId val="723573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 Level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353073"/>
      </c:catAx>
      <c:valAx>
        <c:axId val="1940353073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Maximum Line Loading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573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Real Power Losses vs System Load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'final analysis'!$U$1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'final analysis'!$T$2:$T$4</c:f>
            </c:strRef>
          </c:cat>
          <c:val>
            <c:numRef>
              <c:f>'final analysis'!$U$2:$U$4</c:f>
              <c:numCache/>
            </c:numRef>
          </c:val>
          <c:smooth val="0"/>
        </c:ser>
        <c:axId val="1143777050"/>
        <c:axId val="816930761"/>
      </c:lineChart>
      <c:catAx>
        <c:axId val="1143777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 Level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930761"/>
      </c:catAx>
      <c:valAx>
        <c:axId val="816930761"/>
        <c:scaling>
          <c:orientation val="minMax"/>
          <c:max val="2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Real Power Loss (MW)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7770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Fault Current Comparison by Bus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'final analysis'!$H$29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'final analysis'!$G$30:$G$34</c:f>
            </c:strRef>
          </c:cat>
          <c:val>
            <c:numRef>
              <c:f>'final analysis'!$H$30:$H$34</c:f>
              <c:numCache/>
            </c:numRef>
          </c:val>
        </c:ser>
        <c:ser>
          <c:idx val="1"/>
          <c:order val="1"/>
          <c:tx>
            <c:strRef>
              <c:f>'final analysis'!$I$29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'final analysis'!$G$30:$G$34</c:f>
            </c:strRef>
          </c:cat>
          <c:val>
            <c:numRef>
              <c:f>'final analysis'!$I$30:$I$34</c:f>
              <c:numCache/>
            </c:numRef>
          </c:val>
        </c:ser>
        <c:ser>
          <c:idx val="2"/>
          <c:order val="2"/>
          <c:tx>
            <c:strRef>
              <c:f>'final analysis'!$J$29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'final analysis'!$G$30:$G$34</c:f>
            </c:strRef>
          </c:cat>
          <c:val>
            <c:numRef>
              <c:f>'final analysis'!$J$30:$J$34</c:f>
              <c:numCache/>
            </c:numRef>
          </c:val>
        </c:ser>
        <c:ser>
          <c:idx val="3"/>
          <c:order val="3"/>
          <c:tx>
            <c:strRef>
              <c:f>'final analysis'!$K$29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'final analysis'!$G$30:$G$34</c:f>
            </c:strRef>
          </c:cat>
          <c:val>
            <c:numRef>
              <c:f>'final analysis'!$K$30:$K$34</c:f>
              <c:numCache/>
            </c:numRef>
          </c:val>
        </c:ser>
        <c:axId val="780012631"/>
        <c:axId val="843094106"/>
      </c:barChart>
      <c:catAx>
        <c:axId val="780012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094106"/>
      </c:catAx>
      <c:valAx>
        <c:axId val="843094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Fault Current (A)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012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762000</xdr:colOff>
      <xdr:row>5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600075</xdr:colOff>
      <xdr:row>5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333375</xdr:colOff>
      <xdr:row>4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923925</xdr:colOff>
      <xdr:row>34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2" t="s">
        <v>1</v>
      </c>
      <c r="D1" s="1" t="s">
        <v>4</v>
      </c>
      <c r="E1" s="3"/>
      <c r="F1" s="3"/>
      <c r="H1" s="1" t="s">
        <v>8</v>
      </c>
      <c r="I1" s="3"/>
      <c r="J1" s="3"/>
      <c r="K1" s="3"/>
      <c r="M1" s="1" t="s">
        <v>11</v>
      </c>
      <c r="N1" s="3"/>
      <c r="O1" s="3"/>
      <c r="P1" s="3"/>
      <c r="Q1" s="3"/>
      <c r="S1" s="2" t="s">
        <v>12</v>
      </c>
    </row>
    <row r="2">
      <c r="A2" s="2" t="s">
        <v>14</v>
      </c>
      <c r="D2" s="1" t="s">
        <v>15</v>
      </c>
      <c r="E2" s="3" t="s">
        <v>16</v>
      </c>
      <c r="F2" s="3" t="s">
        <v>17</v>
      </c>
      <c r="H2" s="1" t="s">
        <v>18</v>
      </c>
      <c r="I2" s="3" t="s">
        <v>19</v>
      </c>
      <c r="J2" s="3" t="s">
        <v>20</v>
      </c>
      <c r="K2" s="3" t="s">
        <v>21</v>
      </c>
      <c r="M2" s="1" t="s">
        <v>15</v>
      </c>
      <c r="N2" s="3" t="s">
        <v>22</v>
      </c>
      <c r="O2" s="3" t="s">
        <v>23</v>
      </c>
      <c r="P2" s="3" t="s">
        <v>24</v>
      </c>
      <c r="Q2" s="3" t="s">
        <v>25</v>
      </c>
      <c r="S2" s="1" t="s">
        <v>0</v>
      </c>
      <c r="T2" s="3" t="s">
        <v>2</v>
      </c>
      <c r="U2" s="3" t="s">
        <v>3</v>
      </c>
      <c r="V2" s="3" t="s">
        <v>5</v>
      </c>
      <c r="W2" s="3" t="s">
        <v>27</v>
      </c>
      <c r="X2" s="3" t="s">
        <v>28</v>
      </c>
      <c r="Y2" s="3" t="s">
        <v>7</v>
      </c>
      <c r="Z2" s="3" t="s">
        <v>9</v>
      </c>
    </row>
    <row r="3">
      <c r="A3" s="2" t="s">
        <v>30</v>
      </c>
      <c r="D3" s="2" t="s">
        <v>31</v>
      </c>
      <c r="E3" s="5">
        <v>0.0</v>
      </c>
      <c r="F3" s="5">
        <v>0.0</v>
      </c>
      <c r="H3" s="2" t="s">
        <v>31</v>
      </c>
      <c r="I3" s="5" t="s">
        <v>32</v>
      </c>
      <c r="J3" s="5" t="s">
        <v>33</v>
      </c>
      <c r="K3" s="5" t="s">
        <v>34</v>
      </c>
      <c r="M3" s="2" t="s">
        <v>31</v>
      </c>
      <c r="N3" s="5">
        <v>230.0</v>
      </c>
      <c r="O3" s="5">
        <v>1.0</v>
      </c>
      <c r="P3" s="5">
        <v>230.0</v>
      </c>
      <c r="Q3" s="5">
        <v>0.0</v>
      </c>
      <c r="S3" s="2" t="s">
        <v>13</v>
      </c>
      <c r="T3" s="5">
        <v>128.3</v>
      </c>
      <c r="U3" s="5">
        <v>28.5</v>
      </c>
      <c r="V3" s="5">
        <v>131.4</v>
      </c>
      <c r="W3" s="5">
        <v>200.0</v>
      </c>
      <c r="X3" s="6">
        <v>0.657</v>
      </c>
      <c r="Y3" s="5">
        <v>3.51</v>
      </c>
      <c r="Z3" s="5">
        <v>4.52</v>
      </c>
    </row>
    <row r="4">
      <c r="A4" s="2" t="s">
        <v>39</v>
      </c>
      <c r="D4" s="2" t="s">
        <v>40</v>
      </c>
      <c r="E4" s="5">
        <v>80.0</v>
      </c>
      <c r="F4" s="5">
        <v>30.0</v>
      </c>
      <c r="M4" s="2" t="s">
        <v>40</v>
      </c>
      <c r="N4" s="5">
        <v>230.0</v>
      </c>
      <c r="O4" s="5">
        <v>0.95243</v>
      </c>
      <c r="P4" s="5">
        <v>219.058</v>
      </c>
      <c r="Q4" s="5" t="s">
        <v>44</v>
      </c>
      <c r="S4" s="2" t="s">
        <v>29</v>
      </c>
      <c r="T4" s="5">
        <v>129.4</v>
      </c>
      <c r="U4" s="5">
        <v>33.0</v>
      </c>
      <c r="V4" s="5">
        <v>133.5</v>
      </c>
      <c r="W4" s="5">
        <v>200.0</v>
      </c>
      <c r="X4" s="6">
        <v>0.667</v>
      </c>
      <c r="Y4" s="5">
        <v>3.64</v>
      </c>
      <c r="Z4" s="5">
        <v>5.04</v>
      </c>
    </row>
    <row r="5">
      <c r="A5" s="2" t="s">
        <v>48</v>
      </c>
      <c r="D5" s="2" t="s">
        <v>50</v>
      </c>
      <c r="E5" s="5">
        <v>100.0</v>
      </c>
      <c r="F5" s="5">
        <v>40.0</v>
      </c>
      <c r="M5" s="2" t="s">
        <v>50</v>
      </c>
      <c r="N5" s="5">
        <v>230.0</v>
      </c>
      <c r="O5" s="5">
        <v>0.94861</v>
      </c>
      <c r="P5" s="5">
        <v>218.181</v>
      </c>
      <c r="Q5" s="5" t="s">
        <v>52</v>
      </c>
      <c r="S5" s="2" t="s">
        <v>35</v>
      </c>
      <c r="T5" s="5">
        <v>1.5</v>
      </c>
      <c r="U5" s="5" t="s">
        <v>55</v>
      </c>
      <c r="V5" s="5">
        <v>1.5</v>
      </c>
      <c r="W5" s="5">
        <v>200.0</v>
      </c>
      <c r="X5" s="6">
        <v>0.044</v>
      </c>
      <c r="Y5" s="5">
        <v>0.0</v>
      </c>
      <c r="Z5" s="5" t="s">
        <v>56</v>
      </c>
    </row>
    <row r="6">
      <c r="A6" s="2" t="s">
        <v>59</v>
      </c>
      <c r="D6" s="2" t="s">
        <v>61</v>
      </c>
      <c r="E6" s="5">
        <v>0.0</v>
      </c>
      <c r="F6" s="5">
        <v>0.0</v>
      </c>
      <c r="M6" s="2" t="s">
        <v>61</v>
      </c>
      <c r="N6" s="5">
        <v>230.0</v>
      </c>
      <c r="O6" s="5">
        <v>0.95106</v>
      </c>
      <c r="P6" s="5">
        <v>218.745</v>
      </c>
      <c r="Q6" s="5" t="s">
        <v>65</v>
      </c>
      <c r="S6" s="2" t="s">
        <v>43</v>
      </c>
      <c r="T6" s="5">
        <v>14.5</v>
      </c>
      <c r="U6" s="5" t="s">
        <v>68</v>
      </c>
      <c r="V6" s="5">
        <v>15.8</v>
      </c>
      <c r="W6" s="5">
        <v>200.0</v>
      </c>
      <c r="X6" s="6">
        <v>0.079</v>
      </c>
      <c r="Y6" s="5">
        <v>0.05</v>
      </c>
      <c r="Z6" s="5" t="s">
        <v>70</v>
      </c>
    </row>
    <row r="7">
      <c r="A7" s="2" t="s">
        <v>72</v>
      </c>
      <c r="D7" s="2" t="s">
        <v>73</v>
      </c>
      <c r="E7" s="5">
        <v>70.0</v>
      </c>
      <c r="F7" s="5">
        <v>25.0</v>
      </c>
      <c r="M7" s="2" t="s">
        <v>73</v>
      </c>
      <c r="N7" s="5">
        <v>230.0</v>
      </c>
      <c r="O7" s="5">
        <v>0.94224</v>
      </c>
      <c r="P7" s="5">
        <v>216.714</v>
      </c>
      <c r="Q7" s="5" t="s">
        <v>77</v>
      </c>
      <c r="S7" s="2" t="s">
        <v>53</v>
      </c>
      <c r="T7" s="5">
        <v>28.8</v>
      </c>
      <c r="U7" s="5">
        <v>0.7</v>
      </c>
      <c r="V7" s="5">
        <v>28.8</v>
      </c>
      <c r="W7" s="5">
        <v>200.0</v>
      </c>
      <c r="X7" s="6">
        <v>0.15</v>
      </c>
      <c r="Y7" s="5">
        <v>0.19</v>
      </c>
      <c r="Z7" s="5" t="s">
        <v>79</v>
      </c>
    </row>
    <row r="8">
      <c r="A8" s="2" t="s">
        <v>80</v>
      </c>
      <c r="D8" s="2" t="s">
        <v>82</v>
      </c>
      <c r="E8" s="5" t="s">
        <v>83</v>
      </c>
      <c r="F8" s="5" t="s">
        <v>84</v>
      </c>
      <c r="S8" s="2" t="s">
        <v>66</v>
      </c>
      <c r="T8" s="5">
        <v>27.2</v>
      </c>
      <c r="U8" s="5" t="s">
        <v>86</v>
      </c>
      <c r="V8" s="5">
        <v>27.4</v>
      </c>
      <c r="W8" s="5">
        <v>200.0</v>
      </c>
      <c r="X8" s="6">
        <v>0.137</v>
      </c>
      <c r="Y8" s="5">
        <v>0.16</v>
      </c>
      <c r="Z8" s="5" t="s">
        <v>87</v>
      </c>
    </row>
    <row r="9">
      <c r="A9" s="2" t="s">
        <v>89</v>
      </c>
      <c r="S9" s="2" t="s">
        <v>74</v>
      </c>
      <c r="T9" s="5">
        <v>14.4</v>
      </c>
      <c r="U9" s="5">
        <v>2.4</v>
      </c>
      <c r="V9" s="5">
        <v>14.6</v>
      </c>
      <c r="W9" s="5">
        <v>200.0</v>
      </c>
      <c r="X9" s="6">
        <v>0.091</v>
      </c>
      <c r="Y9" s="5">
        <v>0.06</v>
      </c>
      <c r="Z9" s="5" t="s">
        <v>96</v>
      </c>
    </row>
    <row r="12">
      <c r="A12" s="2" t="s">
        <v>102</v>
      </c>
    </row>
    <row r="13">
      <c r="A13" s="2" t="s">
        <v>106</v>
      </c>
    </row>
    <row r="15">
      <c r="A15" s="2" t="s">
        <v>85</v>
      </c>
    </row>
    <row r="16">
      <c r="A16" s="2" t="s">
        <v>83</v>
      </c>
    </row>
    <row r="17">
      <c r="A17" s="2" t="s">
        <v>84</v>
      </c>
    </row>
    <row r="19">
      <c r="A19" s="2" t="s">
        <v>116</v>
      </c>
    </row>
    <row r="20">
      <c r="A20" s="2" t="s">
        <v>32</v>
      </c>
    </row>
    <row r="21">
      <c r="A21" s="2" t="s">
        <v>33</v>
      </c>
    </row>
    <row r="23">
      <c r="A23" s="2" t="s">
        <v>123</v>
      </c>
    </row>
    <row r="24">
      <c r="A24" s="2" t="s">
        <v>126</v>
      </c>
    </row>
    <row r="26">
      <c r="A26" s="2" t="s">
        <v>131</v>
      </c>
    </row>
    <row r="27">
      <c r="A27" s="2" t="s">
        <v>132</v>
      </c>
    </row>
    <row r="29">
      <c r="A29" s="2" t="s">
        <v>115</v>
      </c>
    </row>
    <row r="30">
      <c r="A30" s="2" t="s">
        <v>73</v>
      </c>
    </row>
    <row r="31">
      <c r="A31" s="2" t="s">
        <v>41</v>
      </c>
    </row>
    <row r="32">
      <c r="A32" s="2" t="s">
        <v>141</v>
      </c>
    </row>
    <row r="34">
      <c r="A34" s="2" t="s">
        <v>144</v>
      </c>
    </row>
    <row r="35">
      <c r="A35" s="2" t="s">
        <v>31</v>
      </c>
    </row>
    <row r="36">
      <c r="A36" s="2" t="s">
        <v>147</v>
      </c>
    </row>
    <row r="37">
      <c r="A37" s="2" t="s">
        <v>150</v>
      </c>
    </row>
    <row r="39">
      <c r="A39" s="2" t="s">
        <v>153</v>
      </c>
    </row>
    <row r="40">
      <c r="A40" s="2" t="s">
        <v>73</v>
      </c>
    </row>
    <row r="41">
      <c r="A41" s="2" t="s">
        <v>62</v>
      </c>
    </row>
    <row r="43">
      <c r="A43" s="2" t="s">
        <v>138</v>
      </c>
    </row>
    <row r="44">
      <c r="A44" s="2" t="s">
        <v>29</v>
      </c>
    </row>
    <row r="45">
      <c r="A45" s="8">
        <v>0.667</v>
      </c>
    </row>
    <row r="47">
      <c r="A47" s="2" t="s">
        <v>158</v>
      </c>
    </row>
    <row r="48">
      <c r="A48" s="2" t="s">
        <v>13</v>
      </c>
    </row>
    <row r="49">
      <c r="A49" s="8">
        <v>0.657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0</v>
      </c>
      <c r="B1" s="3" t="s">
        <v>2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9</v>
      </c>
      <c r="I1" s="1" t="s">
        <v>10</v>
      </c>
      <c r="J1" s="4">
        <v>1.0</v>
      </c>
      <c r="K1" s="4">
        <v>1.25</v>
      </c>
    </row>
    <row r="2">
      <c r="A2" s="2" t="s">
        <v>13</v>
      </c>
      <c r="B2" s="5">
        <v>161.9</v>
      </c>
      <c r="C2" s="5">
        <v>51.8</v>
      </c>
      <c r="D2" s="5">
        <v>170.0</v>
      </c>
      <c r="E2" s="6">
        <v>0.85</v>
      </c>
      <c r="F2" s="5">
        <v>5.89</v>
      </c>
      <c r="G2" s="5">
        <v>14.24</v>
      </c>
      <c r="I2" s="2" t="s">
        <v>26</v>
      </c>
      <c r="J2" s="5">
        <v>257.61</v>
      </c>
      <c r="K2" s="5">
        <v>325.25</v>
      </c>
    </row>
    <row r="3">
      <c r="A3" s="2" t="s">
        <v>29</v>
      </c>
      <c r="B3" s="5">
        <v>163.3</v>
      </c>
      <c r="C3" s="5">
        <v>56.7</v>
      </c>
      <c r="D3" s="5">
        <v>172.9</v>
      </c>
      <c r="E3" s="6">
        <v>0.864</v>
      </c>
      <c r="F3" s="5">
        <v>6.1</v>
      </c>
      <c r="G3" s="5">
        <v>15.1</v>
      </c>
      <c r="I3" s="2" t="s">
        <v>7</v>
      </c>
      <c r="J3" s="5">
        <v>7.61</v>
      </c>
      <c r="K3" s="5">
        <v>12.75</v>
      </c>
    </row>
    <row r="4">
      <c r="A4" s="2" t="s">
        <v>35</v>
      </c>
      <c r="B4" s="5">
        <v>1.9</v>
      </c>
      <c r="C4" s="5" t="s">
        <v>36</v>
      </c>
      <c r="D4" s="5">
        <v>1.9</v>
      </c>
      <c r="E4" s="6">
        <v>0.044</v>
      </c>
      <c r="F4" s="5">
        <v>0.01</v>
      </c>
      <c r="G4" s="5" t="s">
        <v>37</v>
      </c>
      <c r="I4" s="2" t="s">
        <v>38</v>
      </c>
      <c r="J4" s="5" t="s">
        <v>41</v>
      </c>
      <c r="K4" s="5" t="s">
        <v>42</v>
      </c>
    </row>
    <row r="5">
      <c r="A5" s="2" t="s">
        <v>43</v>
      </c>
      <c r="B5" s="5">
        <v>18.1</v>
      </c>
      <c r="C5" s="5" t="s">
        <v>45</v>
      </c>
      <c r="D5" s="5">
        <v>18.6</v>
      </c>
      <c r="E5" s="6">
        <v>0.093</v>
      </c>
      <c r="F5" s="5">
        <v>0.08</v>
      </c>
      <c r="G5" s="5" t="s">
        <v>47</v>
      </c>
      <c r="I5" s="2" t="s">
        <v>49</v>
      </c>
      <c r="J5" s="6">
        <v>0.667</v>
      </c>
      <c r="K5" s="6">
        <v>0.864</v>
      </c>
    </row>
    <row r="6">
      <c r="A6" s="2" t="s">
        <v>53</v>
      </c>
      <c r="B6" s="5">
        <v>36.1</v>
      </c>
      <c r="C6" s="5">
        <v>4.4</v>
      </c>
      <c r="D6" s="5">
        <v>36.3</v>
      </c>
      <c r="E6" s="6">
        <v>0.188</v>
      </c>
      <c r="F6" s="5">
        <v>0.32</v>
      </c>
      <c r="G6" s="5" t="s">
        <v>57</v>
      </c>
      <c r="I6" s="2" t="s">
        <v>60</v>
      </c>
      <c r="J6" s="5" t="s">
        <v>62</v>
      </c>
      <c r="K6" s="5" t="s">
        <v>63</v>
      </c>
    </row>
    <row r="7">
      <c r="A7" s="2" t="s">
        <v>66</v>
      </c>
      <c r="B7" s="5">
        <v>34.1</v>
      </c>
      <c r="C7" s="5">
        <v>0.1</v>
      </c>
      <c r="D7" s="5">
        <v>34.1</v>
      </c>
      <c r="E7" s="6">
        <v>0.173</v>
      </c>
      <c r="F7" s="5">
        <v>0.28</v>
      </c>
      <c r="G7" s="5" t="s">
        <v>71</v>
      </c>
    </row>
    <row r="8">
      <c r="A8" s="2" t="s">
        <v>74</v>
      </c>
      <c r="B8" s="5">
        <v>18.0</v>
      </c>
      <c r="C8" s="5">
        <v>4.0</v>
      </c>
      <c r="D8" s="5">
        <v>18.5</v>
      </c>
      <c r="E8" s="6">
        <v>0.108</v>
      </c>
      <c r="F8" s="5">
        <v>0.09</v>
      </c>
      <c r="G8" s="5" t="s">
        <v>78</v>
      </c>
    </row>
    <row r="12">
      <c r="A12" s="2" t="s">
        <v>81</v>
      </c>
    </row>
    <row r="14">
      <c r="A14" s="2" t="s">
        <v>85</v>
      </c>
    </row>
    <row r="15">
      <c r="A15" s="2" t="s">
        <v>88</v>
      </c>
    </row>
    <row r="16">
      <c r="A16" s="2" t="s">
        <v>90</v>
      </c>
    </row>
    <row r="18">
      <c r="A18" s="2" t="s">
        <v>94</v>
      </c>
    </row>
    <row r="19">
      <c r="A19" s="2" t="s">
        <v>97</v>
      </c>
    </row>
    <row r="20">
      <c r="A20" s="2" t="s">
        <v>103</v>
      </c>
    </row>
    <row r="22">
      <c r="A22" s="2" t="s">
        <v>108</v>
      </c>
    </row>
    <row r="23">
      <c r="A23" s="2" t="s">
        <v>112</v>
      </c>
    </row>
    <row r="25">
      <c r="A25" s="2" t="s">
        <v>115</v>
      </c>
    </row>
    <row r="26">
      <c r="A26" s="2" t="s">
        <v>73</v>
      </c>
    </row>
    <row r="27">
      <c r="A27" s="2" t="s">
        <v>42</v>
      </c>
    </row>
    <row r="28">
      <c r="A28" s="2" t="s">
        <v>122</v>
      </c>
    </row>
    <row r="30">
      <c r="A30" s="2" t="s">
        <v>127</v>
      </c>
    </row>
    <row r="31">
      <c r="A31" s="2" t="s">
        <v>73</v>
      </c>
    </row>
    <row r="32">
      <c r="A32" s="2" t="s">
        <v>135</v>
      </c>
    </row>
    <row r="34">
      <c r="A34" s="2" t="s">
        <v>138</v>
      </c>
    </row>
    <row r="35">
      <c r="A35" s="2" t="s">
        <v>29</v>
      </c>
    </row>
    <row r="36">
      <c r="A36" s="8">
        <v>0.864</v>
      </c>
    </row>
    <row r="38">
      <c r="A38" s="2" t="s">
        <v>152</v>
      </c>
    </row>
    <row r="39">
      <c r="A39" s="2" t="s">
        <v>13</v>
      </c>
    </row>
    <row r="40">
      <c r="A40" s="8">
        <v>0.85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15</v>
      </c>
      <c r="B1" s="3" t="s">
        <v>23</v>
      </c>
      <c r="C1" s="3" t="s">
        <v>54</v>
      </c>
      <c r="D1" s="3" t="s">
        <v>25</v>
      </c>
      <c r="E1" s="3"/>
      <c r="F1" s="3"/>
      <c r="G1" s="1" t="s">
        <v>0</v>
      </c>
      <c r="H1" s="3" t="s">
        <v>2</v>
      </c>
      <c r="I1" s="3" t="s">
        <v>3</v>
      </c>
      <c r="J1" s="3" t="s">
        <v>5</v>
      </c>
      <c r="K1" s="3" t="s">
        <v>6</v>
      </c>
      <c r="L1" s="3" t="s">
        <v>7</v>
      </c>
      <c r="M1" s="3" t="s">
        <v>9</v>
      </c>
      <c r="P1" s="1" t="s">
        <v>10</v>
      </c>
      <c r="Q1" s="4">
        <v>1.0</v>
      </c>
      <c r="R1" s="4">
        <v>1.25</v>
      </c>
      <c r="S1" s="4">
        <v>1.5</v>
      </c>
    </row>
    <row r="2">
      <c r="A2" s="2" t="s">
        <v>31</v>
      </c>
      <c r="B2" s="5">
        <v>1.0</v>
      </c>
      <c r="C2" s="5">
        <v>230.0</v>
      </c>
      <c r="D2" s="5">
        <v>0.0</v>
      </c>
      <c r="E2" s="6"/>
      <c r="F2" s="5"/>
      <c r="G2" s="2" t="s">
        <v>13</v>
      </c>
      <c r="H2" s="5">
        <v>203.9</v>
      </c>
      <c r="I2" s="5">
        <v>84.9</v>
      </c>
      <c r="J2" s="5">
        <v>220.9</v>
      </c>
      <c r="K2" s="6">
        <v>1.104</v>
      </c>
      <c r="L2" s="5">
        <v>9.93</v>
      </c>
      <c r="M2" s="5">
        <v>30.68</v>
      </c>
      <c r="P2" s="2" t="s">
        <v>98</v>
      </c>
      <c r="Q2" s="5" t="s">
        <v>83</v>
      </c>
      <c r="R2" s="5" t="s">
        <v>104</v>
      </c>
      <c r="S2" s="5" t="s">
        <v>105</v>
      </c>
    </row>
    <row r="3">
      <c r="A3" s="2" t="s">
        <v>40</v>
      </c>
      <c r="B3" s="5">
        <v>0.89912</v>
      </c>
      <c r="C3" s="5">
        <v>206.799</v>
      </c>
      <c r="D3" s="5" t="s">
        <v>111</v>
      </c>
      <c r="E3" s="6"/>
      <c r="F3" s="5"/>
      <c r="G3" s="2" t="s">
        <v>29</v>
      </c>
      <c r="H3" s="5">
        <v>191.0</v>
      </c>
      <c r="I3" s="5">
        <v>79.0</v>
      </c>
      <c r="J3" s="5">
        <v>206.7</v>
      </c>
      <c r="K3" s="6">
        <v>1.033</v>
      </c>
      <c r="L3" s="5">
        <v>8.71</v>
      </c>
      <c r="M3" s="5">
        <v>25.74</v>
      </c>
      <c r="P3" s="2" t="s">
        <v>118</v>
      </c>
      <c r="Q3" s="5" t="s">
        <v>32</v>
      </c>
      <c r="R3" s="5" t="s">
        <v>97</v>
      </c>
      <c r="S3" s="5" t="s">
        <v>120</v>
      </c>
    </row>
    <row r="4">
      <c r="A4" s="2" t="s">
        <v>50</v>
      </c>
      <c r="B4" s="5">
        <v>0.90485</v>
      </c>
      <c r="C4" s="5">
        <v>208.116</v>
      </c>
      <c r="D4" s="5" t="s">
        <v>124</v>
      </c>
      <c r="E4" s="6"/>
      <c r="F4" s="5"/>
      <c r="G4" s="2" t="s">
        <v>35</v>
      </c>
      <c r="H4" s="5" t="s">
        <v>128</v>
      </c>
      <c r="I4" s="5" t="s">
        <v>130</v>
      </c>
      <c r="J4" s="5">
        <v>14.3</v>
      </c>
      <c r="K4" s="6">
        <v>0.072</v>
      </c>
      <c r="L4" s="5">
        <v>0.04</v>
      </c>
      <c r="M4" s="5" t="s">
        <v>134</v>
      </c>
      <c r="P4" s="2" t="s">
        <v>136</v>
      </c>
      <c r="Q4" s="5" t="s">
        <v>126</v>
      </c>
      <c r="R4" s="5" t="s">
        <v>112</v>
      </c>
      <c r="S4" s="5" t="s">
        <v>139</v>
      </c>
    </row>
    <row r="5">
      <c r="A5" s="2" t="s">
        <v>61</v>
      </c>
      <c r="B5" s="5">
        <v>0.89463</v>
      </c>
      <c r="C5" s="5">
        <v>205.765</v>
      </c>
      <c r="D5" s="5" t="s">
        <v>142</v>
      </c>
      <c r="E5" s="6"/>
      <c r="F5" s="5"/>
      <c r="G5" s="2" t="s">
        <v>43</v>
      </c>
      <c r="H5" s="5">
        <v>18.8</v>
      </c>
      <c r="I5" s="5" t="s">
        <v>146</v>
      </c>
      <c r="J5" s="5">
        <v>19.1</v>
      </c>
      <c r="K5" s="6">
        <v>0.096</v>
      </c>
      <c r="L5" s="5">
        <v>0.09</v>
      </c>
      <c r="M5" s="5" t="s">
        <v>148</v>
      </c>
      <c r="P5" s="2" t="s">
        <v>151</v>
      </c>
      <c r="Q5" s="5" t="s">
        <v>41</v>
      </c>
      <c r="R5" s="5" t="s">
        <v>42</v>
      </c>
      <c r="S5" s="5" t="s">
        <v>154</v>
      </c>
    </row>
    <row r="6">
      <c r="A6" s="2" t="s">
        <v>73</v>
      </c>
      <c r="B6" s="5">
        <v>0.88326</v>
      </c>
      <c r="C6" s="5">
        <v>203.15</v>
      </c>
      <c r="D6" s="5" t="s">
        <v>155</v>
      </c>
      <c r="E6" s="6"/>
      <c r="F6" s="5"/>
      <c r="G6" s="2" t="s">
        <v>53</v>
      </c>
      <c r="H6" s="5">
        <v>37.5</v>
      </c>
      <c r="I6" s="5">
        <v>5.0</v>
      </c>
      <c r="J6" s="5">
        <v>37.8</v>
      </c>
      <c r="K6" s="6">
        <v>0.194</v>
      </c>
      <c r="L6" s="5">
        <v>0.37</v>
      </c>
      <c r="M6" s="5" t="s">
        <v>156</v>
      </c>
      <c r="P6" s="2" t="s">
        <v>157</v>
      </c>
      <c r="Q6" s="6">
        <v>0.667</v>
      </c>
      <c r="R6" s="6">
        <v>0.864</v>
      </c>
      <c r="S6" s="6">
        <v>1.104</v>
      </c>
    </row>
    <row r="7">
      <c r="B7" s="5"/>
      <c r="C7" s="5"/>
      <c r="D7" s="5"/>
      <c r="E7" s="6"/>
      <c r="F7" s="5"/>
      <c r="G7" s="2" t="s">
        <v>66</v>
      </c>
      <c r="H7" s="5">
        <v>49.9</v>
      </c>
      <c r="I7" s="5">
        <v>8.9</v>
      </c>
      <c r="J7" s="5">
        <v>50.7</v>
      </c>
      <c r="K7" s="6">
        <v>0.257</v>
      </c>
      <c r="L7" s="5">
        <v>0.65</v>
      </c>
      <c r="M7" s="5" t="s">
        <v>159</v>
      </c>
      <c r="P7" s="2" t="s">
        <v>60</v>
      </c>
      <c r="Q7" s="5" t="s">
        <v>62</v>
      </c>
      <c r="R7" s="5" t="s">
        <v>63</v>
      </c>
      <c r="S7" s="5" t="s">
        <v>160</v>
      </c>
    </row>
    <row r="8">
      <c r="B8" s="5"/>
      <c r="C8" s="5"/>
      <c r="D8" s="5"/>
      <c r="E8" s="6"/>
      <c r="F8" s="5"/>
      <c r="G8" s="2" t="s">
        <v>74</v>
      </c>
      <c r="H8" s="5">
        <v>18.7</v>
      </c>
      <c r="I8" s="5">
        <v>4.2</v>
      </c>
      <c r="J8" s="5">
        <v>19.2</v>
      </c>
      <c r="K8" s="6">
        <v>0.11</v>
      </c>
      <c r="L8" s="5">
        <v>0.1</v>
      </c>
      <c r="M8" s="5" t="s">
        <v>161</v>
      </c>
    </row>
    <row r="36">
      <c r="A36" s="8"/>
    </row>
    <row r="40">
      <c r="A4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5" max="5" width="26.63"/>
  </cols>
  <sheetData>
    <row r="1">
      <c r="A1" s="2" t="s">
        <v>46</v>
      </c>
      <c r="E1" s="1" t="s">
        <v>51</v>
      </c>
      <c r="F1" s="3" t="s">
        <v>10</v>
      </c>
      <c r="G1" s="3" t="s">
        <v>58</v>
      </c>
    </row>
    <row r="2">
      <c r="E2" s="2" t="s">
        <v>64</v>
      </c>
      <c r="F2" s="5" t="s">
        <v>67</v>
      </c>
      <c r="G2" s="5" t="s">
        <v>69</v>
      </c>
    </row>
    <row r="3">
      <c r="A3" s="2" t="s">
        <v>75</v>
      </c>
      <c r="E3" s="2" t="s">
        <v>76</v>
      </c>
      <c r="F3" s="6">
        <v>1.5543</v>
      </c>
      <c r="G3" s="7">
        <v>1.0</v>
      </c>
    </row>
    <row r="4">
      <c r="A4" s="2" t="s">
        <v>91</v>
      </c>
      <c r="E4" s="2" t="s">
        <v>92</v>
      </c>
      <c r="F4" s="5" t="s">
        <v>93</v>
      </c>
      <c r="G4" s="5" t="s">
        <v>95</v>
      </c>
    </row>
    <row r="5">
      <c r="A5" s="2" t="s">
        <v>99</v>
      </c>
      <c r="E5" s="2" t="s">
        <v>100</v>
      </c>
      <c r="F5" s="5" t="s">
        <v>101</v>
      </c>
      <c r="G5" s="5" t="s">
        <v>95</v>
      </c>
    </row>
    <row r="6">
      <c r="A6" s="2" t="s">
        <v>107</v>
      </c>
      <c r="E6" s="2" t="s">
        <v>109</v>
      </c>
      <c r="F6" s="5" t="s">
        <v>110</v>
      </c>
      <c r="G6" s="5" t="s">
        <v>95</v>
      </c>
    </row>
    <row r="7">
      <c r="E7" s="2" t="s">
        <v>113</v>
      </c>
      <c r="F7" s="5" t="s">
        <v>114</v>
      </c>
      <c r="G7" s="5" t="s">
        <v>95</v>
      </c>
    </row>
    <row r="8">
      <c r="A8" s="2" t="s">
        <v>117</v>
      </c>
    </row>
    <row r="9">
      <c r="A9" s="2" t="s">
        <v>119</v>
      </c>
    </row>
    <row r="10">
      <c r="A10" s="2" t="s">
        <v>121</v>
      </c>
    </row>
    <row r="11">
      <c r="A11" s="2" t="s">
        <v>125</v>
      </c>
    </row>
    <row r="12">
      <c r="A12" s="2" t="s">
        <v>129</v>
      </c>
    </row>
    <row r="14">
      <c r="A14" s="2" t="s">
        <v>133</v>
      </c>
    </row>
    <row r="15">
      <c r="A15" s="2" t="s">
        <v>137</v>
      </c>
    </row>
    <row r="16">
      <c r="A16" s="2" t="s">
        <v>121</v>
      </c>
    </row>
    <row r="17">
      <c r="A17" s="2" t="s">
        <v>140</v>
      </c>
    </row>
    <row r="18">
      <c r="A18" s="2" t="s">
        <v>143</v>
      </c>
    </row>
    <row r="20">
      <c r="A20" s="2" t="s">
        <v>145</v>
      </c>
    </row>
    <row r="21">
      <c r="A21" s="2" t="s">
        <v>149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6.25"/>
    <col customWidth="1" min="3" max="3" width="27.25"/>
    <col customWidth="1" min="4" max="4" width="26.88"/>
    <col customWidth="1" min="5" max="5" width="26.63"/>
    <col customWidth="1" min="8" max="8" width="23.13"/>
  </cols>
  <sheetData>
    <row r="1">
      <c r="A1" s="2" t="s">
        <v>162</v>
      </c>
      <c r="B1" s="2" t="s">
        <v>163</v>
      </c>
      <c r="C1" s="2" t="s">
        <v>164</v>
      </c>
      <c r="D1" s="2" t="s">
        <v>165</v>
      </c>
      <c r="E1" s="1" t="s">
        <v>166</v>
      </c>
      <c r="F1" s="3"/>
      <c r="G1" s="1" t="s">
        <v>15</v>
      </c>
      <c r="H1" s="3" t="s">
        <v>167</v>
      </c>
    </row>
    <row r="2">
      <c r="A2" s="2" t="s">
        <v>168</v>
      </c>
      <c r="B2" s="2" t="s">
        <v>168</v>
      </c>
      <c r="C2" s="2" t="s">
        <v>168</v>
      </c>
      <c r="D2" s="2" t="s">
        <v>168</v>
      </c>
      <c r="E2" s="2" t="s">
        <v>168</v>
      </c>
      <c r="F2" s="5"/>
      <c r="G2" s="2" t="s">
        <v>31</v>
      </c>
      <c r="H2" s="5" t="s">
        <v>169</v>
      </c>
    </row>
    <row r="3">
      <c r="A3" s="2" t="s">
        <v>170</v>
      </c>
      <c r="B3" s="2" t="s">
        <v>170</v>
      </c>
      <c r="C3" s="2" t="s">
        <v>170</v>
      </c>
      <c r="D3" s="2" t="s">
        <v>170</v>
      </c>
      <c r="E3" s="2" t="s">
        <v>170</v>
      </c>
      <c r="F3" s="6"/>
      <c r="G3" s="2" t="s">
        <v>40</v>
      </c>
      <c r="H3" s="5" t="s">
        <v>171</v>
      </c>
    </row>
    <row r="4">
      <c r="F4" s="5"/>
      <c r="G4" s="2" t="s">
        <v>50</v>
      </c>
      <c r="H4" s="5" t="s">
        <v>172</v>
      </c>
    </row>
    <row r="5">
      <c r="A5" s="2" t="s">
        <v>173</v>
      </c>
      <c r="B5" s="2" t="s">
        <v>173</v>
      </c>
      <c r="C5" s="2" t="s">
        <v>173</v>
      </c>
      <c r="D5" s="2" t="s">
        <v>173</v>
      </c>
      <c r="E5" s="2" t="s">
        <v>173</v>
      </c>
      <c r="F5" s="5"/>
      <c r="G5" s="2" t="s">
        <v>61</v>
      </c>
      <c r="H5" s="5" t="s">
        <v>174</v>
      </c>
    </row>
    <row r="6">
      <c r="A6" s="2" t="s">
        <v>169</v>
      </c>
      <c r="B6" s="2" t="s">
        <v>171</v>
      </c>
      <c r="C6" s="2" t="s">
        <v>172</v>
      </c>
      <c r="D6" s="2" t="s">
        <v>174</v>
      </c>
      <c r="E6" s="2" t="s">
        <v>175</v>
      </c>
      <c r="F6" s="5"/>
      <c r="G6" s="2" t="s">
        <v>73</v>
      </c>
      <c r="H6" s="5" t="s">
        <v>175</v>
      </c>
    </row>
    <row r="7">
      <c r="F7" s="5"/>
      <c r="G7" s="5"/>
    </row>
    <row r="8">
      <c r="A8" s="2" t="s">
        <v>176</v>
      </c>
      <c r="B8" s="2" t="s">
        <v>176</v>
      </c>
      <c r="C8" s="2" t="s">
        <v>176</v>
      </c>
      <c r="D8" s="2" t="s">
        <v>176</v>
      </c>
      <c r="E8" s="2" t="s">
        <v>176</v>
      </c>
    </row>
    <row r="9">
      <c r="A9" s="2" t="s">
        <v>177</v>
      </c>
      <c r="B9" s="2" t="s">
        <v>178</v>
      </c>
      <c r="C9" s="2" t="s">
        <v>179</v>
      </c>
      <c r="D9" s="2" t="s">
        <v>180</v>
      </c>
      <c r="E9" s="2" t="s">
        <v>181</v>
      </c>
    </row>
    <row r="12">
      <c r="A12" s="2" t="s">
        <v>162</v>
      </c>
      <c r="B12" s="2" t="s">
        <v>163</v>
      </c>
      <c r="C12" s="2" t="s">
        <v>164</v>
      </c>
      <c r="D12" s="2" t="s">
        <v>165</v>
      </c>
      <c r="E12" s="2" t="s">
        <v>166</v>
      </c>
      <c r="G12" s="1" t="s">
        <v>15</v>
      </c>
      <c r="H12" s="3" t="s">
        <v>182</v>
      </c>
    </row>
    <row r="13">
      <c r="A13" s="2" t="s">
        <v>183</v>
      </c>
      <c r="B13" s="2" t="s">
        <v>183</v>
      </c>
      <c r="C13" s="2" t="s">
        <v>183</v>
      </c>
      <c r="D13" s="2" t="s">
        <v>183</v>
      </c>
      <c r="E13" s="2" t="s">
        <v>183</v>
      </c>
      <c r="G13" s="2" t="s">
        <v>31</v>
      </c>
      <c r="H13" s="5" t="s">
        <v>184</v>
      </c>
    </row>
    <row r="14">
      <c r="A14" s="2" t="s">
        <v>170</v>
      </c>
      <c r="B14" s="2" t="s">
        <v>170</v>
      </c>
      <c r="C14" s="2" t="s">
        <v>170</v>
      </c>
      <c r="D14" s="2" t="s">
        <v>170</v>
      </c>
      <c r="E14" s="2" t="s">
        <v>170</v>
      </c>
      <c r="G14" s="2" t="s">
        <v>40</v>
      </c>
      <c r="H14" s="5" t="s">
        <v>185</v>
      </c>
    </row>
    <row r="15">
      <c r="G15" s="2" t="s">
        <v>50</v>
      </c>
      <c r="H15" s="5" t="s">
        <v>186</v>
      </c>
    </row>
    <row r="16">
      <c r="A16" s="2" t="s">
        <v>173</v>
      </c>
      <c r="B16" s="2" t="s">
        <v>173</v>
      </c>
      <c r="C16" s="2" t="s">
        <v>173</v>
      </c>
      <c r="D16" s="2" t="s">
        <v>173</v>
      </c>
      <c r="E16" s="2" t="s">
        <v>173</v>
      </c>
      <c r="G16" s="2" t="s">
        <v>61</v>
      </c>
      <c r="H16" s="5" t="s">
        <v>187</v>
      </c>
    </row>
    <row r="17">
      <c r="A17" s="2" t="s">
        <v>184</v>
      </c>
      <c r="B17" s="2" t="s">
        <v>185</v>
      </c>
      <c r="C17" s="2" t="s">
        <v>186</v>
      </c>
      <c r="D17" s="2" t="s">
        <v>187</v>
      </c>
      <c r="E17" s="2" t="s">
        <v>188</v>
      </c>
      <c r="G17" s="2" t="s">
        <v>73</v>
      </c>
      <c r="H17" s="5" t="s">
        <v>188</v>
      </c>
    </row>
    <row r="19">
      <c r="A19" s="2" t="s">
        <v>176</v>
      </c>
      <c r="B19" s="2" t="s">
        <v>176</v>
      </c>
      <c r="C19" s="2" t="s">
        <v>176</v>
      </c>
      <c r="D19" s="2" t="s">
        <v>176</v>
      </c>
      <c r="E19" s="2" t="s">
        <v>176</v>
      </c>
    </row>
    <row r="20">
      <c r="A20" s="2" t="s">
        <v>189</v>
      </c>
      <c r="B20" s="2" t="s">
        <v>190</v>
      </c>
      <c r="C20" s="2" t="s">
        <v>191</v>
      </c>
      <c r="D20" s="2" t="s">
        <v>192</v>
      </c>
      <c r="E20" s="2" t="s">
        <v>193</v>
      </c>
    </row>
    <row r="23">
      <c r="A23" s="2" t="s">
        <v>162</v>
      </c>
      <c r="B23" s="2" t="s">
        <v>163</v>
      </c>
      <c r="C23" s="2" t="s">
        <v>164</v>
      </c>
      <c r="D23" s="2" t="s">
        <v>165</v>
      </c>
      <c r="E23" s="2" t="s">
        <v>166</v>
      </c>
      <c r="G23" s="1" t="s">
        <v>15</v>
      </c>
      <c r="H23" s="3" t="s">
        <v>194</v>
      </c>
    </row>
    <row r="24">
      <c r="A24" s="2" t="s">
        <v>195</v>
      </c>
      <c r="B24" s="2" t="s">
        <v>195</v>
      </c>
      <c r="C24" s="2" t="s">
        <v>195</v>
      </c>
      <c r="D24" s="2" t="s">
        <v>195</v>
      </c>
      <c r="E24" s="2" t="s">
        <v>195</v>
      </c>
      <c r="G24" s="2" t="s">
        <v>31</v>
      </c>
      <c r="H24" s="5" t="s">
        <v>196</v>
      </c>
    </row>
    <row r="25">
      <c r="A25" s="2" t="s">
        <v>170</v>
      </c>
      <c r="B25" s="2" t="s">
        <v>170</v>
      </c>
      <c r="C25" s="2" t="s">
        <v>170</v>
      </c>
      <c r="D25" s="2" t="s">
        <v>170</v>
      </c>
      <c r="E25" s="2" t="s">
        <v>170</v>
      </c>
      <c r="G25" s="2" t="s">
        <v>40</v>
      </c>
      <c r="H25" s="5" t="s">
        <v>197</v>
      </c>
    </row>
    <row r="26">
      <c r="G26" s="2" t="s">
        <v>50</v>
      </c>
      <c r="H26" s="5" t="s">
        <v>198</v>
      </c>
    </row>
    <row r="27">
      <c r="A27" s="2" t="s">
        <v>173</v>
      </c>
      <c r="B27" s="2" t="s">
        <v>173</v>
      </c>
      <c r="C27" s="2" t="s">
        <v>173</v>
      </c>
      <c r="D27" s="2" t="s">
        <v>173</v>
      </c>
      <c r="E27" s="2" t="s">
        <v>173</v>
      </c>
      <c r="G27" s="2" t="s">
        <v>61</v>
      </c>
      <c r="H27" s="5" t="s">
        <v>199</v>
      </c>
    </row>
    <row r="28">
      <c r="A28" s="2" t="s">
        <v>196</v>
      </c>
      <c r="B28" s="2" t="s">
        <v>197</v>
      </c>
      <c r="C28" s="2" t="s">
        <v>198</v>
      </c>
      <c r="D28" s="2" t="s">
        <v>199</v>
      </c>
      <c r="E28" s="2" t="s">
        <v>200</v>
      </c>
      <c r="G28" s="2" t="s">
        <v>73</v>
      </c>
      <c r="H28" s="5" t="s">
        <v>200</v>
      </c>
    </row>
    <row r="30">
      <c r="A30" s="2" t="s">
        <v>176</v>
      </c>
      <c r="B30" s="2" t="s">
        <v>176</v>
      </c>
      <c r="C30" s="2" t="s">
        <v>176</v>
      </c>
      <c r="D30" s="2" t="s">
        <v>176</v>
      </c>
      <c r="E30" s="2" t="s">
        <v>176</v>
      </c>
    </row>
    <row r="31">
      <c r="A31" s="2" t="s">
        <v>201</v>
      </c>
      <c r="B31" s="2" t="s">
        <v>202</v>
      </c>
      <c r="C31" s="2" t="s">
        <v>203</v>
      </c>
      <c r="D31" s="2" t="s">
        <v>204</v>
      </c>
      <c r="E31" s="2" t="s">
        <v>205</v>
      </c>
    </row>
    <row r="34">
      <c r="A34" s="1" t="s">
        <v>15</v>
      </c>
      <c r="B34" s="3" t="s">
        <v>206</v>
      </c>
      <c r="C34" s="3" t="s">
        <v>207</v>
      </c>
      <c r="D34" s="3" t="s">
        <v>208</v>
      </c>
      <c r="E34" s="3" t="s">
        <v>209</v>
      </c>
      <c r="G34" s="1" t="s">
        <v>15</v>
      </c>
      <c r="H34" s="3" t="s">
        <v>210</v>
      </c>
      <c r="I34" s="3" t="s">
        <v>211</v>
      </c>
    </row>
    <row r="35">
      <c r="A35" s="2" t="s">
        <v>31</v>
      </c>
      <c r="B35" s="5" t="s">
        <v>169</v>
      </c>
      <c r="C35" s="5" t="s">
        <v>184</v>
      </c>
      <c r="D35" s="5" t="s">
        <v>196</v>
      </c>
      <c r="E35" s="5" t="s">
        <v>212</v>
      </c>
      <c r="G35" s="2" t="s">
        <v>31</v>
      </c>
      <c r="H35" s="5" t="s">
        <v>212</v>
      </c>
      <c r="I35" s="5" t="s">
        <v>213</v>
      </c>
    </row>
    <row r="36">
      <c r="A36" s="2" t="s">
        <v>40</v>
      </c>
      <c r="B36" s="5" t="s">
        <v>171</v>
      </c>
      <c r="C36" s="5" t="s">
        <v>185</v>
      </c>
      <c r="D36" s="5" t="s">
        <v>197</v>
      </c>
      <c r="E36" s="5" t="s">
        <v>214</v>
      </c>
      <c r="G36" s="2" t="s">
        <v>40</v>
      </c>
      <c r="H36" s="5" t="s">
        <v>214</v>
      </c>
      <c r="I36" s="5" t="s">
        <v>215</v>
      </c>
    </row>
    <row r="37">
      <c r="A37" s="2" t="s">
        <v>50</v>
      </c>
      <c r="B37" s="5" t="s">
        <v>172</v>
      </c>
      <c r="C37" s="5" t="s">
        <v>186</v>
      </c>
      <c r="D37" s="5" t="s">
        <v>198</v>
      </c>
      <c r="E37" s="5" t="s">
        <v>216</v>
      </c>
      <c r="G37" s="2" t="s">
        <v>50</v>
      </c>
      <c r="H37" s="5" t="s">
        <v>216</v>
      </c>
      <c r="I37" s="5" t="s">
        <v>217</v>
      </c>
    </row>
    <row r="38">
      <c r="A38" s="2" t="s">
        <v>61</v>
      </c>
      <c r="B38" s="5" t="s">
        <v>174</v>
      </c>
      <c r="C38" s="5" t="s">
        <v>187</v>
      </c>
      <c r="D38" s="5" t="s">
        <v>199</v>
      </c>
      <c r="E38" s="5" t="s">
        <v>218</v>
      </c>
      <c r="G38" s="2" t="s">
        <v>61</v>
      </c>
      <c r="H38" s="5" t="s">
        <v>218</v>
      </c>
      <c r="I38" s="5" t="s">
        <v>219</v>
      </c>
    </row>
    <row r="39">
      <c r="A39" s="2" t="s">
        <v>73</v>
      </c>
      <c r="B39" s="5" t="s">
        <v>175</v>
      </c>
      <c r="C39" s="5" t="s">
        <v>188</v>
      </c>
      <c r="D39" s="5" t="s">
        <v>200</v>
      </c>
      <c r="E39" s="5" t="s">
        <v>220</v>
      </c>
      <c r="G39" s="2" t="s">
        <v>73</v>
      </c>
      <c r="H39" s="5" t="s">
        <v>220</v>
      </c>
      <c r="I39" s="5" t="s">
        <v>221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6.25"/>
    <col customWidth="1" min="3" max="3" width="27.25"/>
    <col customWidth="1" min="4" max="4" width="26.88"/>
    <col customWidth="1" min="5" max="5" width="26.63"/>
    <col customWidth="1" min="8" max="8" width="23.13"/>
  </cols>
  <sheetData>
    <row r="1">
      <c r="A1" s="2" t="s">
        <v>222</v>
      </c>
      <c r="E1" s="1"/>
      <c r="F1" s="3"/>
      <c r="G1" s="1"/>
      <c r="H1" s="3"/>
      <c r="I1" s="3" t="s">
        <v>223</v>
      </c>
      <c r="J1" s="3" t="s">
        <v>224</v>
      </c>
      <c r="N1" s="3" t="s">
        <v>223</v>
      </c>
      <c r="O1" s="3" t="s">
        <v>225</v>
      </c>
      <c r="T1" s="3" t="s">
        <v>223</v>
      </c>
      <c r="U1" s="3" t="s">
        <v>226</v>
      </c>
    </row>
    <row r="2">
      <c r="A2" s="1" t="s">
        <v>227</v>
      </c>
      <c r="B2" s="3" t="s">
        <v>228</v>
      </c>
      <c r="C2" s="3" t="s">
        <v>229</v>
      </c>
      <c r="D2" s="3" t="s">
        <v>230</v>
      </c>
      <c r="E2" s="3" t="s">
        <v>224</v>
      </c>
      <c r="F2" s="3" t="s">
        <v>231</v>
      </c>
      <c r="H2" s="5"/>
      <c r="I2" s="5">
        <v>100.0</v>
      </c>
      <c r="J2" s="5">
        <v>0.94224</v>
      </c>
      <c r="K2" s="3"/>
      <c r="L2" s="3"/>
      <c r="M2" s="3"/>
      <c r="N2" s="5">
        <v>100.0</v>
      </c>
      <c r="O2" s="5">
        <v>66.7</v>
      </c>
      <c r="T2" s="5">
        <v>100.0</v>
      </c>
      <c r="U2" s="5">
        <v>7.61</v>
      </c>
    </row>
    <row r="3">
      <c r="A3" s="2" t="s">
        <v>232</v>
      </c>
      <c r="B3" s="5">
        <v>250.0</v>
      </c>
      <c r="C3" s="5">
        <v>257.61</v>
      </c>
      <c r="D3" s="5">
        <v>7.61</v>
      </c>
      <c r="E3" s="5">
        <v>0.94224</v>
      </c>
      <c r="F3" s="5">
        <v>66.7</v>
      </c>
      <c r="H3" s="5"/>
      <c r="I3" s="5">
        <v>125.0</v>
      </c>
      <c r="J3" s="5">
        <v>0.91489</v>
      </c>
      <c r="K3" s="5"/>
      <c r="L3" s="5"/>
      <c r="M3" s="5"/>
      <c r="N3" s="5">
        <v>125.0</v>
      </c>
      <c r="O3" s="5">
        <v>86.4</v>
      </c>
      <c r="T3" s="5">
        <v>125.0</v>
      </c>
      <c r="U3" s="5">
        <v>12.75</v>
      </c>
    </row>
    <row r="4">
      <c r="A4" s="2" t="s">
        <v>233</v>
      </c>
      <c r="B4" s="5">
        <v>312.5</v>
      </c>
      <c r="C4" s="5">
        <v>325.25</v>
      </c>
      <c r="D4" s="5">
        <v>12.75</v>
      </c>
      <c r="E4" s="5">
        <v>0.91489</v>
      </c>
      <c r="F4" s="5">
        <v>86.4</v>
      </c>
      <c r="H4" s="5"/>
      <c r="I4" s="5">
        <v>150.0</v>
      </c>
      <c r="J4" s="5">
        <v>0.88326</v>
      </c>
      <c r="K4" s="5"/>
      <c r="L4" s="5"/>
      <c r="M4" s="5"/>
      <c r="N4" s="5">
        <v>150.0</v>
      </c>
      <c r="O4" s="5">
        <v>110.4</v>
      </c>
      <c r="T4" s="5">
        <v>150.0</v>
      </c>
      <c r="U4" s="5">
        <v>19.88</v>
      </c>
    </row>
    <row r="5">
      <c r="A5" s="2" t="s">
        <v>234</v>
      </c>
      <c r="B5" s="5">
        <v>375.0</v>
      </c>
      <c r="C5" s="5">
        <v>394.88</v>
      </c>
      <c r="D5" s="5">
        <v>19.88</v>
      </c>
      <c r="E5" s="5">
        <v>0.88326</v>
      </c>
      <c r="F5" s="5">
        <v>110.4</v>
      </c>
      <c r="H5" s="5"/>
      <c r="K5" s="5"/>
      <c r="L5" s="5"/>
      <c r="M5" s="5"/>
      <c r="N5" s="5"/>
    </row>
    <row r="6">
      <c r="B6" s="5"/>
      <c r="C6" s="5"/>
      <c r="D6" s="5"/>
      <c r="E6" s="5"/>
      <c r="F6" s="6"/>
      <c r="H6" s="5"/>
      <c r="K6" s="5"/>
      <c r="L6" s="5"/>
      <c r="M6" s="5"/>
      <c r="N6" s="5"/>
    </row>
    <row r="7">
      <c r="B7" s="5"/>
      <c r="C7" s="5"/>
      <c r="D7" s="5"/>
      <c r="E7" s="5"/>
      <c r="F7" s="6"/>
      <c r="G7" s="5"/>
      <c r="K7" s="5"/>
      <c r="L7" s="5"/>
      <c r="M7" s="5"/>
      <c r="N7" s="5"/>
    </row>
    <row r="8">
      <c r="A8" s="2" t="s">
        <v>235</v>
      </c>
    </row>
    <row r="9">
      <c r="A9" s="1" t="s">
        <v>15</v>
      </c>
      <c r="B9" s="3" t="s">
        <v>236</v>
      </c>
      <c r="C9" s="3" t="s">
        <v>237</v>
      </c>
      <c r="D9" s="3" t="s">
        <v>238</v>
      </c>
    </row>
    <row r="10">
      <c r="A10" s="2" t="s">
        <v>31</v>
      </c>
      <c r="B10" s="5">
        <v>1.0</v>
      </c>
      <c r="C10" s="5">
        <v>1.0</v>
      </c>
      <c r="D10" s="5">
        <v>1.0</v>
      </c>
    </row>
    <row r="11">
      <c r="A11" s="2" t="s">
        <v>40</v>
      </c>
      <c r="B11" s="5">
        <v>0.95243</v>
      </c>
      <c r="C11" s="5">
        <v>0.92969</v>
      </c>
      <c r="D11" s="5">
        <v>0.89912</v>
      </c>
    </row>
    <row r="12">
      <c r="A12" s="2" t="s">
        <v>50</v>
      </c>
      <c r="B12" s="5">
        <v>0.94861</v>
      </c>
      <c r="C12" s="5">
        <v>0.9256</v>
      </c>
      <c r="D12" s="5">
        <v>0.90485</v>
      </c>
      <c r="G12" s="1"/>
      <c r="H12" s="3"/>
    </row>
    <row r="13">
      <c r="A13" s="2" t="s">
        <v>61</v>
      </c>
      <c r="B13" s="5">
        <v>0.95106</v>
      </c>
      <c r="C13" s="5">
        <v>0.92587</v>
      </c>
      <c r="D13" s="5">
        <v>0.89463</v>
      </c>
      <c r="H13" s="5"/>
    </row>
    <row r="14">
      <c r="A14" s="2" t="s">
        <v>73</v>
      </c>
      <c r="B14" s="5">
        <v>0.94224</v>
      </c>
      <c r="C14" s="5">
        <v>0.91489</v>
      </c>
      <c r="D14" s="5">
        <v>0.88326</v>
      </c>
      <c r="H14" s="5"/>
    </row>
    <row r="15">
      <c r="H15" s="5"/>
    </row>
    <row r="16">
      <c r="H16" s="5"/>
    </row>
    <row r="17">
      <c r="A17" s="2" t="s">
        <v>239</v>
      </c>
      <c r="H17" s="5"/>
    </row>
    <row r="18">
      <c r="A18" s="1" t="s">
        <v>240</v>
      </c>
      <c r="B18" s="3" t="s">
        <v>241</v>
      </c>
      <c r="C18" s="3" t="s">
        <v>225</v>
      </c>
      <c r="D18" s="3" t="s">
        <v>242</v>
      </c>
    </row>
    <row r="19">
      <c r="A19" s="2" t="s">
        <v>13</v>
      </c>
      <c r="B19" s="5">
        <v>5.0</v>
      </c>
      <c r="C19" s="5">
        <v>154.4</v>
      </c>
      <c r="D19" s="5">
        <v>0.811</v>
      </c>
    </row>
    <row r="20">
      <c r="A20" s="2" t="s">
        <v>29</v>
      </c>
      <c r="B20" s="5">
        <v>5.0</v>
      </c>
      <c r="C20" s="5">
        <v>155.4</v>
      </c>
      <c r="D20" s="5">
        <v>0.798</v>
      </c>
    </row>
    <row r="21">
      <c r="A21" s="2" t="s">
        <v>35</v>
      </c>
      <c r="B21" s="5">
        <v>0.0</v>
      </c>
      <c r="C21" s="5" t="s">
        <v>243</v>
      </c>
      <c r="D21" s="5" t="s">
        <v>243</v>
      </c>
    </row>
    <row r="22">
      <c r="A22" s="2" t="s">
        <v>43</v>
      </c>
      <c r="B22" s="5">
        <v>0.0</v>
      </c>
      <c r="C22" s="5" t="s">
        <v>243</v>
      </c>
      <c r="D22" s="5" t="s">
        <v>243</v>
      </c>
    </row>
    <row r="23">
      <c r="A23" s="2" t="s">
        <v>53</v>
      </c>
      <c r="B23" s="5">
        <v>0.0</v>
      </c>
      <c r="C23" s="5" t="s">
        <v>243</v>
      </c>
      <c r="D23" s="5" t="s">
        <v>243</v>
      </c>
      <c r="G23" s="1"/>
      <c r="H23" s="3"/>
    </row>
    <row r="24">
      <c r="A24" s="2" t="s">
        <v>66</v>
      </c>
      <c r="B24" s="5">
        <v>0.0</v>
      </c>
      <c r="C24" s="5" t="s">
        <v>243</v>
      </c>
      <c r="D24" s="5" t="s">
        <v>243</v>
      </c>
      <c r="H24" s="5"/>
    </row>
    <row r="25">
      <c r="A25" s="2" t="s">
        <v>74</v>
      </c>
      <c r="B25" s="5">
        <v>0.0</v>
      </c>
      <c r="C25" s="5" t="s">
        <v>243</v>
      </c>
      <c r="D25" s="5" t="s">
        <v>243</v>
      </c>
      <c r="H25" s="5"/>
    </row>
    <row r="26">
      <c r="H26" s="5"/>
    </row>
    <row r="27">
      <c r="H27" s="5"/>
    </row>
    <row r="28">
      <c r="A28" s="2" t="s">
        <v>244</v>
      </c>
      <c r="H28" s="5"/>
    </row>
    <row r="29">
      <c r="A29" s="1" t="s">
        <v>10</v>
      </c>
      <c r="B29" s="3" t="s">
        <v>245</v>
      </c>
      <c r="C29" s="3" t="s">
        <v>246</v>
      </c>
      <c r="G29" s="1" t="s">
        <v>15</v>
      </c>
      <c r="H29" s="3" t="s">
        <v>206</v>
      </c>
      <c r="I29" s="3" t="s">
        <v>247</v>
      </c>
      <c r="J29" s="3" t="s">
        <v>208</v>
      </c>
      <c r="K29" s="3" t="s">
        <v>248</v>
      </c>
    </row>
    <row r="30">
      <c r="A30" s="2" t="s">
        <v>249</v>
      </c>
      <c r="B30" s="6">
        <v>1.5442</v>
      </c>
      <c r="C30" s="6">
        <v>1.5543</v>
      </c>
      <c r="G30" s="2" t="s">
        <v>31</v>
      </c>
      <c r="H30" s="5">
        <v>763.137</v>
      </c>
      <c r="I30" s="5">
        <v>175.026</v>
      </c>
      <c r="J30" s="5">
        <v>660.896</v>
      </c>
      <c r="K30" s="5">
        <v>94.371</v>
      </c>
    </row>
    <row r="31">
      <c r="A31" s="2" t="s">
        <v>250</v>
      </c>
      <c r="B31" s="5">
        <v>308.84</v>
      </c>
      <c r="C31" s="5">
        <v>310.87</v>
      </c>
      <c r="G31" s="2" t="s">
        <v>40</v>
      </c>
      <c r="H31" s="5">
        <v>720.821</v>
      </c>
      <c r="I31" s="5">
        <v>144.713</v>
      </c>
      <c r="J31" s="5">
        <v>624.249</v>
      </c>
      <c r="K31" s="5">
        <v>76.907</v>
      </c>
    </row>
    <row r="32">
      <c r="A32" s="2" t="s">
        <v>251</v>
      </c>
      <c r="B32" s="5" t="s">
        <v>252</v>
      </c>
      <c r="C32" s="5" t="s">
        <v>93</v>
      </c>
      <c r="G32" s="2" t="s">
        <v>50</v>
      </c>
      <c r="H32" s="5">
        <v>723.617</v>
      </c>
      <c r="I32" s="5">
        <v>146.089</v>
      </c>
      <c r="J32" s="5">
        <v>626.671</v>
      </c>
      <c r="K32" s="5">
        <v>77.643</v>
      </c>
    </row>
    <row r="33">
      <c r="A33" s="2" t="s">
        <v>253</v>
      </c>
      <c r="B33" s="5" t="s">
        <v>254</v>
      </c>
      <c r="C33" s="5" t="s">
        <v>101</v>
      </c>
      <c r="G33" s="2" t="s">
        <v>61</v>
      </c>
      <c r="H33" s="5">
        <v>663.279</v>
      </c>
      <c r="I33" s="5">
        <v>135.222</v>
      </c>
      <c r="J33" s="5">
        <v>574.416</v>
      </c>
      <c r="K33" s="5">
        <v>72.403</v>
      </c>
    </row>
    <row r="34">
      <c r="A34" s="2" t="s">
        <v>255</v>
      </c>
      <c r="B34" s="5" t="s">
        <v>256</v>
      </c>
      <c r="C34" s="5" t="s">
        <v>110</v>
      </c>
      <c r="D34" s="3"/>
      <c r="E34" s="3"/>
      <c r="G34" s="2" t="s">
        <v>73</v>
      </c>
      <c r="H34" s="5">
        <v>695.989</v>
      </c>
      <c r="I34" s="5">
        <v>137.634</v>
      </c>
      <c r="J34" s="5">
        <v>602.744</v>
      </c>
      <c r="K34" s="5">
        <v>73.15</v>
      </c>
    </row>
    <row r="35">
      <c r="A35" s="2" t="s">
        <v>257</v>
      </c>
      <c r="B35" s="5" t="s">
        <v>258</v>
      </c>
      <c r="C35" s="5" t="s">
        <v>114</v>
      </c>
      <c r="D35" s="5"/>
      <c r="E35" s="5"/>
      <c r="H35" s="5"/>
      <c r="I35" s="5"/>
    </row>
    <row r="36">
      <c r="B36" s="5"/>
      <c r="C36" s="5"/>
      <c r="D36" s="5"/>
      <c r="E36" s="5"/>
      <c r="H36" s="5"/>
      <c r="I36" s="5"/>
    </row>
    <row r="37">
      <c r="B37" s="5"/>
      <c r="C37" s="5"/>
      <c r="D37" s="5"/>
      <c r="E37" s="5"/>
      <c r="H37" s="5"/>
      <c r="I37" s="5"/>
    </row>
    <row r="38">
      <c r="A38" s="2" t="s">
        <v>259</v>
      </c>
      <c r="B38" s="5"/>
      <c r="C38" s="5"/>
      <c r="D38" s="5"/>
      <c r="E38" s="5"/>
      <c r="H38" s="5"/>
      <c r="I38" s="5"/>
    </row>
    <row r="39">
      <c r="A39" s="1" t="s">
        <v>15</v>
      </c>
      <c r="B39" s="3" t="s">
        <v>260</v>
      </c>
      <c r="C39" s="3" t="s">
        <v>261</v>
      </c>
      <c r="D39" s="3" t="s">
        <v>262</v>
      </c>
      <c r="E39" s="3" t="s">
        <v>263</v>
      </c>
      <c r="H39" s="5"/>
      <c r="I39" s="5"/>
    </row>
    <row r="40">
      <c r="A40" s="2" t="s">
        <v>31</v>
      </c>
      <c r="B40" s="5">
        <v>763.137</v>
      </c>
      <c r="C40" s="5">
        <v>175.026</v>
      </c>
      <c r="D40" s="5">
        <v>660.896</v>
      </c>
      <c r="E40" s="5">
        <v>94.371</v>
      </c>
    </row>
    <row r="41">
      <c r="A41" s="2" t="s">
        <v>40</v>
      </c>
      <c r="B41" s="5">
        <v>720.821</v>
      </c>
      <c r="C41" s="5">
        <v>144.713</v>
      </c>
      <c r="D41" s="5">
        <v>624.249</v>
      </c>
      <c r="E41" s="5">
        <v>76.907</v>
      </c>
    </row>
    <row r="42">
      <c r="A42" s="2" t="s">
        <v>50</v>
      </c>
      <c r="B42" s="5">
        <v>723.617</v>
      </c>
      <c r="C42" s="5">
        <v>146.089</v>
      </c>
      <c r="D42" s="5">
        <v>626.671</v>
      </c>
      <c r="E42" s="5">
        <v>77.643</v>
      </c>
    </row>
    <row r="43">
      <c r="A43" s="2" t="s">
        <v>61</v>
      </c>
      <c r="B43" s="5">
        <v>663.279</v>
      </c>
      <c r="C43" s="5">
        <v>135.222</v>
      </c>
      <c r="D43" s="5">
        <v>574.416</v>
      </c>
      <c r="E43" s="5">
        <v>72.403</v>
      </c>
    </row>
    <row r="44">
      <c r="A44" s="2" t="s">
        <v>73</v>
      </c>
      <c r="B44" s="5">
        <v>695.989</v>
      </c>
      <c r="C44" s="5">
        <v>137.634</v>
      </c>
      <c r="D44" s="5">
        <v>602.744</v>
      </c>
      <c r="E44" s="5">
        <v>73.15</v>
      </c>
    </row>
  </sheetData>
  <drawing r:id="rId1"/>
</worksheet>
</file>